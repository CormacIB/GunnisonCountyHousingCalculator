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I Data" sheetId="1" state="visible" r:id="rId3"/>
    <sheet name="Property Listi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<sst xmlns="http://schemas.openxmlformats.org/spreadsheetml/2006/main" count="239" uniqueCount="114">
  <si>
    <t xml:space="preserve">Gunnison County, CO — HUD Area Median Income Limits (FY2024)</t>
  </si>
  <si>
    <t xml:space="preserve">Source: HUD FY2024 Income Limits — Gunnison County, CO. 4-person AMI = $94,400.</t>
  </si>
  <si>
    <t xml:space="preserve">AMI %</t>
  </si>
  <si>
    <t xml:space="preserve">Income Limit</t>
  </si>
  <si>
    <t xml:space="preserve">1-Person</t>
  </si>
  <si>
    <t xml:space="preserve">2-Person</t>
  </si>
  <si>
    <t xml:space="preserve">3-Person</t>
  </si>
  <si>
    <t xml:space="preserve">4-Person</t>
  </si>
  <si>
    <t xml:space="preserve">5-Person</t>
  </si>
  <si>
    <t xml:space="preserve">6-Person</t>
  </si>
  <si>
    <t xml:space="preserve">7-Person</t>
  </si>
  <si>
    <t xml:space="preserve">8-Person</t>
  </si>
  <si>
    <t xml:space="preserve">30%</t>
  </si>
  <si>
    <t xml:space="preserve">Extremely Low</t>
  </si>
  <si>
    <t xml:space="preserve">50%</t>
  </si>
  <si>
    <t xml:space="preserve">Very Low</t>
  </si>
  <si>
    <t xml:space="preserve">60%</t>
  </si>
  <si>
    <t xml:space="preserve">Low</t>
  </si>
  <si>
    <t xml:space="preserve">80%</t>
  </si>
  <si>
    <t xml:space="preserve">100%</t>
  </si>
  <si>
    <t xml:space="preserve">Median</t>
  </si>
  <si>
    <t xml:space="preserve">120%</t>
  </si>
  <si>
    <t xml:space="preserve">Moderate</t>
  </si>
  <si>
    <t xml:space="preserve">150%</t>
  </si>
  <si>
    <t xml:space="preserve">Above Moderate</t>
  </si>
  <si>
    <t xml:space="preserve">Gunnison County, CO — Example Property Listings</t>
  </si>
  <si>
    <t xml:space="preserve">Listing ID</t>
  </si>
  <si>
    <t xml:space="preserve">Address</t>
  </si>
  <si>
    <t xml:space="preserve">City</t>
  </si>
  <si>
    <t xml:space="preserve">Zip</t>
  </si>
  <si>
    <t xml:space="preserve">Property Type</t>
  </si>
  <si>
    <t xml:space="preserve">Bedrooms</t>
  </si>
  <si>
    <t xml:space="preserve">Bathrooms</t>
  </si>
  <si>
    <t xml:space="preserve">Sq Ft</t>
  </si>
  <si>
    <t xml:space="preserve">List Price</t>
  </si>
  <si>
    <t xml:space="preserve">Price/Sq Ft</t>
  </si>
  <si>
    <t xml:space="preserve">AMI % Target</t>
  </si>
  <si>
    <t xml:space="preserve">Affordable?</t>
  </si>
  <si>
    <t xml:space="preserve">Notes</t>
  </si>
  <si>
    <t xml:space="preserve">Type</t>
  </si>
  <si>
    <t xml:space="preserve">County Residency Required</t>
  </si>
  <si>
    <t xml:space="preserve">County Employment Required</t>
  </si>
  <si>
    <t xml:space="preserve">First-Time Buyer Required</t>
  </si>
  <si>
    <t xml:space="preserve">Status</t>
  </si>
  <si>
    <t xml:space="preserve">Monthly Rent ($)</t>
  </si>
  <si>
    <t xml:space="preserve">GC-001</t>
  </si>
  <si>
    <t xml:space="preserve">124 Ohio Creek Rd</t>
  </si>
  <si>
    <t xml:space="preserve">Gunnison</t>
  </si>
  <si>
    <t xml:space="preserve">81230</t>
  </si>
  <si>
    <t xml:space="preserve">Single Family</t>
  </si>
  <si>
    <t xml:space="preserve">Near downtown, deed-restricted</t>
  </si>
  <si>
    <t xml:space="preserve">Ownership</t>
  </si>
  <si>
    <t xml:space="preserve">Yes</t>
  </si>
  <si>
    <t xml:space="preserve">No</t>
  </si>
  <si>
    <t xml:space="preserve">Available</t>
  </si>
  <si>
    <t xml:space="preserve">—</t>
  </si>
  <si>
    <t xml:space="preserve">GC-002</t>
  </si>
  <si>
    <t xml:space="preserve">47 Tomichi Ave</t>
  </si>
  <si>
    <t xml:space="preserve">Townhome</t>
  </si>
  <si>
    <t xml:space="preserve">USDA Rural Dev eligible</t>
  </si>
  <si>
    <t xml:space="preserve">GC-003</t>
  </si>
  <si>
    <t xml:space="preserve">891 Gothic Rd</t>
  </si>
  <si>
    <t xml:space="preserve">Crested Butte</t>
  </si>
  <si>
    <t xml:space="preserve">81224</t>
  </si>
  <si>
    <t xml:space="preserve">Condo</t>
  </si>
  <si>
    <t xml:space="preserve">Ski-in access, HOA $320/mo</t>
  </si>
  <si>
    <t xml:space="preserve">Pending</t>
  </si>
  <si>
    <t xml:space="preserve">GC-004</t>
  </si>
  <si>
    <t xml:space="preserve">302 Brush Creek Rd</t>
  </si>
  <si>
    <t xml:space="preserve">Mountain views, 0.4 acre lot</t>
  </si>
  <si>
    <t xml:space="preserve">GC-005</t>
  </si>
  <si>
    <t xml:space="preserve">15 Almont Loop</t>
  </si>
  <si>
    <t xml:space="preserve">Almont</t>
  </si>
  <si>
    <t xml:space="preserve">81210</t>
  </si>
  <si>
    <t xml:space="preserve">Manufactured</t>
  </si>
  <si>
    <t xml:space="preserve">Land included, septic/well</t>
  </si>
  <si>
    <t xml:space="preserve">GC-006</t>
  </si>
  <si>
    <t xml:space="preserve">78 Gunnison Ave Unit 4</t>
  </si>
  <si>
    <t xml:space="preserve">Investor-owned, income restricted</t>
  </si>
  <si>
    <t xml:space="preserve">Rental</t>
  </si>
  <si>
    <t xml:space="preserve">GC-007</t>
  </si>
  <si>
    <t xml:space="preserve">560 Cement Creek Rd</t>
  </si>
  <si>
    <t xml:space="preserve">Historic district</t>
  </si>
  <si>
    <t xml:space="preserve">GC-008</t>
  </si>
  <si>
    <t xml:space="preserve">33 Pitchfork Dr</t>
  </si>
  <si>
    <t xml:space="preserve">Duplex Unit</t>
  </si>
  <si>
    <t xml:space="preserve">Owner-occupant preferred</t>
  </si>
  <si>
    <t xml:space="preserve">GC-009</t>
  </si>
  <si>
    <t xml:space="preserve">210 W Tomichi Ave</t>
  </si>
  <si>
    <t xml:space="preserve">New construction 2023</t>
  </si>
  <si>
    <t xml:space="preserve">GC-010</t>
  </si>
  <si>
    <t xml:space="preserve">1104 Elk Ave</t>
  </si>
  <si>
    <t xml:space="preserve">Short-term rental allowed</t>
  </si>
  <si>
    <t xml:space="preserve">GC-011</t>
  </si>
  <si>
    <t xml:space="preserve">44 Poverty Gulch Rd</t>
  </si>
  <si>
    <t xml:space="preserve">Luxury, private drive</t>
  </si>
  <si>
    <t xml:space="preserve">GC-012</t>
  </si>
  <si>
    <t xml:space="preserve">88 Spencer Ave</t>
  </si>
  <si>
    <t xml:space="preserve">Energy Star certified</t>
  </si>
  <si>
    <t xml:space="preserve">GC-013</t>
  </si>
  <si>
    <t xml:space="preserve">725 Parlin Rd</t>
  </si>
  <si>
    <t xml:space="preserve">Parlin</t>
  </si>
  <si>
    <t xml:space="preserve">81239</t>
  </si>
  <si>
    <t xml:space="preserve">Rural, 2 acres, fixer-upper</t>
  </si>
  <si>
    <t xml:space="preserve">GC-014</t>
  </si>
  <si>
    <t xml:space="preserve">19 Ruby Anthracite Rd</t>
  </si>
  <si>
    <t xml:space="preserve">Vacant Land</t>
  </si>
  <si>
    <t xml:space="preserve">N/A</t>
  </si>
  <si>
    <t xml:space="preserve">0.25 acre, utilities at lot</t>
  </si>
  <si>
    <t xml:space="preserve">GC-015</t>
  </si>
  <si>
    <t xml:space="preserve">505 Ohio City Rd</t>
  </si>
  <si>
    <t xml:space="preserve">Ohio City</t>
  </si>
  <si>
    <t xml:space="preserve">81237</t>
  </si>
  <si>
    <t xml:space="preserve">Section 8 voucher accepted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</si>
</sst>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.00"/>
    <numFmt numFmtId="167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7"/>
    <col collapsed="false" customWidth="true" hidden="false" outlineLevel="0" max="10" min="3" style="1" width="13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8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15" hidden="false" customHeight="true" outlineLevel="0" collapsed="false">
      <c r="A4" s="5" t="s">
        <v>12</v>
      </c>
      <c r="B4" s="6" t="s">
        <v>13</v>
      </c>
      <c r="C4" s="7" t="n">
        <v>19800</v>
      </c>
      <c r="D4" s="7" t="n">
        <v>22700</v>
      </c>
      <c r="E4" s="7" t="n">
        <v>25500</v>
      </c>
      <c r="F4" s="7" t="n">
        <v>28300</v>
      </c>
      <c r="G4" s="7" t="n">
        <v>30600</v>
      </c>
      <c r="H4" s="7" t="n">
        <v>32900</v>
      </c>
      <c r="I4" s="7" t="n">
        <v>35100</v>
      </c>
      <c r="J4" s="7" t="n">
        <v>37400</v>
      </c>
    </row>
    <row r="5" customFormat="false" ht="15" hidden="false" customHeight="true" outlineLevel="0" collapsed="false">
      <c r="A5" s="8" t="s">
        <v>14</v>
      </c>
      <c r="B5" s="9" t="s">
        <v>15</v>
      </c>
      <c r="C5" s="10" t="n">
        <v>33000</v>
      </c>
      <c r="D5" s="10" t="n">
        <v>37800</v>
      </c>
      <c r="E5" s="10" t="n">
        <v>42500</v>
      </c>
      <c r="F5" s="10" t="n">
        <v>47200</v>
      </c>
      <c r="G5" s="10" t="n">
        <v>51000</v>
      </c>
      <c r="H5" s="10" t="n">
        <v>54800</v>
      </c>
      <c r="I5" s="10" t="n">
        <v>58500</v>
      </c>
      <c r="J5" s="10" t="n">
        <v>62300</v>
      </c>
    </row>
    <row r="6" customFormat="false" ht="15" hidden="false" customHeight="true" outlineLevel="0" collapsed="false">
      <c r="A6" s="5" t="s">
        <v>16</v>
      </c>
      <c r="B6" s="6" t="s">
        <v>17</v>
      </c>
      <c r="C6" s="7" t="n">
        <v>39600</v>
      </c>
      <c r="D6" s="7" t="n">
        <v>45300</v>
      </c>
      <c r="E6" s="7" t="n">
        <v>51000</v>
      </c>
      <c r="F6" s="7" t="n">
        <v>56600</v>
      </c>
      <c r="G6" s="7" t="n">
        <v>61200</v>
      </c>
      <c r="H6" s="7" t="n">
        <v>65700</v>
      </c>
      <c r="I6" s="7" t="n">
        <v>70200</v>
      </c>
      <c r="J6" s="7" t="n">
        <v>74800</v>
      </c>
    </row>
    <row r="7" customFormat="false" ht="15" hidden="false" customHeight="true" outlineLevel="0" collapsed="false">
      <c r="A7" s="8" t="s">
        <v>18</v>
      </c>
      <c r="B7" s="9" t="s">
        <v>17</v>
      </c>
      <c r="C7" s="10" t="n">
        <v>52900</v>
      </c>
      <c r="D7" s="10" t="n">
        <v>60400</v>
      </c>
      <c r="E7" s="10" t="n">
        <v>68000</v>
      </c>
      <c r="F7" s="10" t="n">
        <v>75500</v>
      </c>
      <c r="G7" s="10" t="n">
        <v>81600</v>
      </c>
      <c r="H7" s="10" t="n">
        <v>87600</v>
      </c>
      <c r="I7" s="10" t="n">
        <v>93600</v>
      </c>
      <c r="J7" s="10" t="n">
        <v>99700</v>
      </c>
    </row>
    <row r="8" customFormat="false" ht="15" hidden="false" customHeight="true" outlineLevel="0" collapsed="false">
      <c r="A8" s="5" t="s">
        <v>19</v>
      </c>
      <c r="B8" s="6" t="s">
        <v>20</v>
      </c>
      <c r="C8" s="7" t="n">
        <v>66100</v>
      </c>
      <c r="D8" s="7" t="n">
        <v>75500</v>
      </c>
      <c r="E8" s="7" t="n">
        <v>85000</v>
      </c>
      <c r="F8" s="7" t="n">
        <v>94400</v>
      </c>
      <c r="G8" s="7" t="n">
        <v>102000</v>
      </c>
      <c r="H8" s="7" t="n">
        <v>109500</v>
      </c>
      <c r="I8" s="7" t="n">
        <v>117100</v>
      </c>
      <c r="J8" s="7" t="n">
        <v>124600</v>
      </c>
    </row>
    <row r="9" customFormat="false" ht="15" hidden="false" customHeight="true" outlineLevel="0" collapsed="false">
      <c r="A9" s="8" t="s">
        <v>21</v>
      </c>
      <c r="B9" s="9" t="s">
        <v>22</v>
      </c>
      <c r="C9" s="10" t="n">
        <v>79300</v>
      </c>
      <c r="D9" s="10" t="n">
        <v>90600</v>
      </c>
      <c r="E9" s="10" t="n">
        <v>102000</v>
      </c>
      <c r="F9" s="10" t="n">
        <v>113300</v>
      </c>
      <c r="G9" s="10" t="n">
        <v>122300</v>
      </c>
      <c r="H9" s="10" t="n">
        <v>131400</v>
      </c>
      <c r="I9" s="10" t="n">
        <v>140500</v>
      </c>
      <c r="J9" s="10" t="n">
        <v>149500</v>
      </c>
    </row>
    <row r="10" customFormat="false" ht="15" hidden="false" customHeight="true" outlineLevel="0" collapsed="false">
      <c r="A10" s="5" t="s">
        <v>23</v>
      </c>
      <c r="B10" s="6" t="s">
        <v>24</v>
      </c>
      <c r="C10" s="7" t="n">
        <v>99100</v>
      </c>
      <c r="D10" s="7" t="n">
        <v>113300</v>
      </c>
      <c r="E10" s="7" t="n">
        <v>127400</v>
      </c>
      <c r="F10" s="7" t="n">
        <v>141600</v>
      </c>
      <c r="G10" s="7" t="n">
        <v>152900</v>
      </c>
      <c r="H10" s="7" t="n">
        <v>164300</v>
      </c>
      <c r="I10" s="7" t="n">
        <v>175600</v>
      </c>
      <c r="J10" s="7" t="n">
        <v>186900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5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11" min="9" style="1" width="13"/>
    <col collapsed="false" customWidth="true" hidden="false" outlineLevel="0" max="12" min="12" style="1" width="12"/>
    <col collapsed="false" customWidth="true" hidden="false" outlineLevel="0" max="13" min="13" style="1" width="32"/>
    <col collapsed="false" customWidth="true" hidden="false" outlineLevel="0" max="14" min="14" style="0" width="12"/>
    <col collapsed="false" customWidth="true" hidden="false" outlineLevel="0" max="15" min="15" style="0" width="22"/>
    <col collapsed="false" customWidth="true" hidden="false" outlineLevel="0" max="16" min="16" style="0" width="24"/>
    <col collapsed="false" customWidth="true" hidden="false" outlineLevel="0" max="17" min="17" style="0" width="22"/>
    <col collapsed="false" customWidth="true" hidden="false" outlineLevel="0" max="18" min="18" style="0" width="14"/>
    <col collapsed="false" customWidth="true" hidden="false" outlineLevel="0" max="19" min="19" style="0" width="16"/>
  </cols>
  <sheetData>
    <row r="1" customFormat="false" ht="24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11" t="s">
        <v>26</v>
      </c>
      <c r="B2" s="11" t="s">
        <v>27</v>
      </c>
      <c r="C2" s="11" t="s">
        <v>28</v>
      </c>
      <c r="D2" s="11" t="s">
        <v>29</v>
      </c>
      <c r="E2" s="11" t="s">
        <v>30</v>
      </c>
      <c r="F2" s="11" t="s">
        <v>31</v>
      </c>
      <c r="G2" s="11" t="s">
        <v>32</v>
      </c>
      <c r="H2" s="11" t="s">
        <v>33</v>
      </c>
      <c r="I2" s="11" t="s">
        <v>34</v>
      </c>
      <c r="J2" s="11" t="s">
        <v>35</v>
      </c>
      <c r="K2" s="11" t="s">
        <v>36</v>
      </c>
      <c r="L2" s="11" t="s">
        <v>37</v>
      </c>
      <c r="M2" s="11" t="s">
        <v>38</v>
      </c>
      <c r="N2" s="11" t="s">
        <v>39</v>
      </c>
      <c r="O2" s="11" t="s">
        <v>40</v>
      </c>
      <c r="P2" s="11" t="s">
        <v>41</v>
      </c>
      <c r="Q2" s="11" t="s">
        <v>42</v>
      </c>
      <c r="R2" s="11" t="s">
        <v>43</v>
      </c>
      <c r="S2" s="11" t="s">
        <v>44</v>
      </c>
    </row>
    <row r="3" customFormat="false" ht="15" hidden="false" customHeight="true" outlineLevel="0" collapsed="false">
      <c r="A3" s="12" t="s">
        <v>45</v>
      </c>
      <c r="B3" s="12" t="s">
        <v>46</v>
      </c>
      <c r="C3" s="12" t="s">
        <v>47</v>
      </c>
      <c r="D3" s="12" t="s">
        <v>48</v>
      </c>
      <c r="E3" s="12" t="s">
        <v>49</v>
      </c>
      <c r="F3" s="6" t="n">
        <v>3</v>
      </c>
      <c r="G3" s="6" t="n">
        <v>2</v>
      </c>
      <c r="H3" s="6" t="n">
        <v>1480</v>
      </c>
      <c r="I3" s="7" t="n">
        <v>385000</v>
      </c>
      <c r="J3" s="13" t="n">
        <f aca="false">IF(H3&gt;0,I3/H3,"-")</f>
        <v>260.135135135135</v>
      </c>
      <c r="K3" s="12" t="s">
        <v>18</v>
      </c>
      <c r="L3" s="12" t="str">
        <f aca="false">IF(K3="N/A","N/A",IF(VALUE(SUBSTITUTE(K3,"%",""))&lt;=80,"Yes","No"))</f>
        <v>Yes</v>
      </c>
      <c r="M3" s="12" t="s">
        <v>50</v>
      </c>
      <c r="N3" s="6" t="s">
        <v>51</v>
      </c>
      <c r="O3" s="6" t="s">
        <v>52</v>
      </c>
      <c r="P3" s="6" t="s">
        <v>53</v>
      </c>
      <c r="Q3" s="6" t="s">
        <v>53</v>
      </c>
      <c r="R3" s="6" t="s">
        <v>54</v>
      </c>
      <c r="S3" s="6" t="s">
        <v>55</v>
      </c>
    </row>
    <row r="4" customFormat="false" ht="15" hidden="false" customHeight="true" outlineLevel="0" collapsed="false">
      <c r="A4" s="14" t="s">
        <v>56</v>
      </c>
      <c r="B4" s="14" t="s">
        <v>57</v>
      </c>
      <c r="C4" s="14" t="s">
        <v>47</v>
      </c>
      <c r="D4" s="14" t="s">
        <v>48</v>
      </c>
      <c r="E4" s="14" t="s">
        <v>58</v>
      </c>
      <c r="F4" s="9" t="n">
        <v>2</v>
      </c>
      <c r="G4" s="9" t="n">
        <v>1.5</v>
      </c>
      <c r="H4" s="9" t="n">
        <v>980</v>
      </c>
      <c r="I4" s="10" t="n">
        <v>298000</v>
      </c>
      <c r="J4" s="15" t="n">
        <f aca="false">IF(H4&gt;0,I4/H4,"-")</f>
        <v>304.081632653061</v>
      </c>
      <c r="K4" s="14" t="s">
        <v>16</v>
      </c>
      <c r="L4" s="14" t="str">
        <f aca="false">IF(K4="N/A","N/A",IF(VALUE(SUBSTITUTE(K4,"%",""))&lt;=80,"Yes","No"))</f>
        <v>Yes</v>
      </c>
      <c r="M4" s="14" t="s">
        <v>59</v>
      </c>
      <c r="N4" s="9" t="s">
        <v>51</v>
      </c>
      <c r="O4" s="9" t="s">
        <v>52</v>
      </c>
      <c r="P4" s="9" t="s">
        <v>53</v>
      </c>
      <c r="Q4" s="9" t="s">
        <v>52</v>
      </c>
      <c r="R4" s="9" t="s">
        <v>54</v>
      </c>
      <c r="S4" s="9" t="s">
        <v>55</v>
      </c>
    </row>
    <row r="5" customFormat="false" ht="15" hidden="false" customHeight="true" outlineLevel="0" collapsed="false">
      <c r="A5" s="12" t="s">
        <v>60</v>
      </c>
      <c r="B5" s="12" t="s">
        <v>61</v>
      </c>
      <c r="C5" s="12" t="s">
        <v>62</v>
      </c>
      <c r="D5" s="12" t="s">
        <v>63</v>
      </c>
      <c r="E5" s="12" t="s">
        <v>64</v>
      </c>
      <c r="F5" s="6" t="n">
        <v>1</v>
      </c>
      <c r="G5" s="6" t="n">
        <v>1</v>
      </c>
      <c r="H5" s="6" t="n">
        <v>640</v>
      </c>
      <c r="I5" s="7" t="n">
        <v>425000</v>
      </c>
      <c r="J5" s="13" t="n">
        <f aca="false">IF(H5&gt;0,I5/H5,"-")</f>
        <v>664.0625</v>
      </c>
      <c r="K5" s="12" t="s">
        <v>21</v>
      </c>
      <c r="L5" s="12" t="str">
        <f aca="false">IF(K5="N/A","N/A",IF(VALUE(SUBSTITUTE(K5,"%",""))&lt;=80,"Yes","No"))</f>
        <v>No</v>
      </c>
      <c r="M5" s="12" t="s">
        <v>65</v>
      </c>
      <c r="N5" s="6" t="s">
        <v>51</v>
      </c>
      <c r="O5" s="6" t="s">
        <v>53</v>
      </c>
      <c r="P5" s="6" t="s">
        <v>53</v>
      </c>
      <c r="Q5" s="6" t="s">
        <v>53</v>
      </c>
      <c r="R5" s="6" t="s">
        <v>66</v>
      </c>
      <c r="S5" s="6" t="s">
        <v>55</v>
      </c>
    </row>
    <row r="6" customFormat="false" ht="15" hidden="false" customHeight="true" outlineLevel="0" collapsed="false">
      <c r="A6" s="14" t="s">
        <v>67</v>
      </c>
      <c r="B6" s="14" t="s">
        <v>68</v>
      </c>
      <c r="C6" s="14" t="s">
        <v>62</v>
      </c>
      <c r="D6" s="14" t="s">
        <v>63</v>
      </c>
      <c r="E6" s="14" t="s">
        <v>49</v>
      </c>
      <c r="F6" s="9" t="n">
        <v>4</v>
      </c>
      <c r="G6" s="9" t="n">
        <v>3</v>
      </c>
      <c r="H6" s="9" t="n">
        <v>2200</v>
      </c>
      <c r="I6" s="10" t="n">
        <v>895000</v>
      </c>
      <c r="J6" s="15" t="n">
        <f aca="false">IF(H6&gt;0,I6/H6,"-")</f>
        <v>406.818181818182</v>
      </c>
      <c r="K6" s="14" t="s">
        <v>23</v>
      </c>
      <c r="L6" s="14" t="str">
        <f aca="false">IF(K6="N/A","N/A",IF(VALUE(SUBSTITUTE(K6,"%",""))&lt;=80,"Yes","No"))</f>
        <v>No</v>
      </c>
      <c r="M6" s="14" t="s">
        <v>69</v>
      </c>
      <c r="N6" s="9" t="s">
        <v>51</v>
      </c>
      <c r="O6" s="9" t="s">
        <v>53</v>
      </c>
      <c r="P6" s="9" t="s">
        <v>53</v>
      </c>
      <c r="Q6" s="9" t="s">
        <v>53</v>
      </c>
      <c r="R6" s="9" t="s">
        <v>54</v>
      </c>
      <c r="S6" s="9" t="s">
        <v>55</v>
      </c>
    </row>
    <row r="7" customFormat="false" ht="15" hidden="false" customHeight="true" outlineLevel="0" collapsed="false">
      <c r="A7" s="12" t="s">
        <v>70</v>
      </c>
      <c r="B7" s="12" t="s">
        <v>71</v>
      </c>
      <c r="C7" s="12" t="s">
        <v>72</v>
      </c>
      <c r="D7" s="12" t="s">
        <v>73</v>
      </c>
      <c r="E7" s="12" t="s">
        <v>74</v>
      </c>
      <c r="F7" s="6" t="n">
        <v>3</v>
      </c>
      <c r="G7" s="6" t="n">
        <v>2</v>
      </c>
      <c r="H7" s="6" t="n">
        <v>1200</v>
      </c>
      <c r="I7" s="7" t="n">
        <v>215000</v>
      </c>
      <c r="J7" s="13" t="n">
        <f aca="false">IF(H7&gt;0,I7/H7,"-")</f>
        <v>179.166666666667</v>
      </c>
      <c r="K7" s="12" t="s">
        <v>14</v>
      </c>
      <c r="L7" s="12" t="str">
        <f aca="false">IF(K7="N/A","N/A",IF(VALUE(SUBSTITUTE(K7,"%",""))&lt;=80,"Yes","No"))</f>
        <v>Yes</v>
      </c>
      <c r="M7" s="12" t="s">
        <v>75</v>
      </c>
      <c r="N7" s="6" t="s">
        <v>51</v>
      </c>
      <c r="O7" s="6" t="s">
        <v>52</v>
      </c>
      <c r="P7" s="6" t="s">
        <v>53</v>
      </c>
      <c r="Q7" s="6" t="s">
        <v>52</v>
      </c>
      <c r="R7" s="6" t="s">
        <v>54</v>
      </c>
      <c r="S7" s="6" t="s">
        <v>55</v>
      </c>
    </row>
    <row r="8" customFormat="false" ht="15" hidden="false" customHeight="true" outlineLevel="0" collapsed="false">
      <c r="A8" s="14" t="s">
        <v>76</v>
      </c>
      <c r="B8" s="14" t="s">
        <v>77</v>
      </c>
      <c r="C8" s="14" t="s">
        <v>47</v>
      </c>
      <c r="D8" s="14" t="s">
        <v>48</v>
      </c>
      <c r="E8" s="14" t="s">
        <v>64</v>
      </c>
      <c r="F8" s="9" t="n">
        <v>2</v>
      </c>
      <c r="G8" s="9" t="n">
        <v>1</v>
      </c>
      <c r="H8" s="9" t="n">
        <v>820</v>
      </c>
      <c r="I8" s="10" t="n">
        <v>249000</v>
      </c>
      <c r="J8" s="15" t="n">
        <f aca="false">IF(H8&gt;0,I8/H8,"-")</f>
        <v>303.658536585366</v>
      </c>
      <c r="K8" s="14" t="s">
        <v>18</v>
      </c>
      <c r="L8" s="14" t="str">
        <f aca="false">IF(K8="N/A","N/A",IF(VALUE(SUBSTITUTE(K8,"%",""))&lt;=80,"Yes","No"))</f>
        <v>Yes</v>
      </c>
      <c r="M8" s="14" t="s">
        <v>78</v>
      </c>
      <c r="N8" s="9" t="s">
        <v>79</v>
      </c>
      <c r="O8" s="9" t="s">
        <v>52</v>
      </c>
      <c r="P8" s="9" t="s">
        <v>53</v>
      </c>
      <c r="Q8" s="9" t="s">
        <v>53</v>
      </c>
      <c r="R8" s="9" t="s">
        <v>54</v>
      </c>
      <c r="S8" s="16" t="n">
        <v>1650</v>
      </c>
    </row>
    <row r="9" customFormat="false" ht="15" hidden="false" customHeight="true" outlineLevel="0" collapsed="false">
      <c r="A9" s="12" t="s">
        <v>80</v>
      </c>
      <c r="B9" s="12" t="s">
        <v>81</v>
      </c>
      <c r="C9" s="12" t="s">
        <v>62</v>
      </c>
      <c r="D9" s="12" t="s">
        <v>63</v>
      </c>
      <c r="E9" s="12" t="s">
        <v>49</v>
      </c>
      <c r="F9" s="6" t="n">
        <v>3</v>
      </c>
      <c r="G9" s="6" t="n">
        <v>2.5</v>
      </c>
      <c r="H9" s="6" t="n">
        <v>1750</v>
      </c>
      <c r="I9" s="7" t="n">
        <v>760000</v>
      </c>
      <c r="J9" s="13" t="n">
        <f aca="false">IF(H9&gt;0,I9/H9,"-")</f>
        <v>434.285714285714</v>
      </c>
      <c r="K9" s="12" t="s">
        <v>23</v>
      </c>
      <c r="L9" s="12" t="str">
        <f aca="false">IF(K9="N/A","N/A",IF(VALUE(SUBSTITUTE(K9,"%",""))&lt;=80,"Yes","No"))</f>
        <v>No</v>
      </c>
      <c r="M9" s="12" t="s">
        <v>82</v>
      </c>
      <c r="N9" s="6" t="s">
        <v>51</v>
      </c>
      <c r="O9" s="6" t="s">
        <v>53</v>
      </c>
      <c r="P9" s="6" t="s">
        <v>53</v>
      </c>
      <c r="Q9" s="6" t="s">
        <v>53</v>
      </c>
      <c r="R9" s="6" t="s">
        <v>54</v>
      </c>
      <c r="S9" s="6" t="s">
        <v>55</v>
      </c>
    </row>
    <row r="10" customFormat="false" ht="15" hidden="false" customHeight="true" outlineLevel="0" collapsed="false">
      <c r="A10" s="14" t="s">
        <v>83</v>
      </c>
      <c r="B10" s="14" t="s">
        <v>84</v>
      </c>
      <c r="C10" s="14" t="s">
        <v>47</v>
      </c>
      <c r="D10" s="14" t="s">
        <v>48</v>
      </c>
      <c r="E10" s="14" t="s">
        <v>85</v>
      </c>
      <c r="F10" s="9" t="n">
        <v>2</v>
      </c>
      <c r="G10" s="9" t="n">
        <v>1</v>
      </c>
      <c r="H10" s="9" t="n">
        <v>900</v>
      </c>
      <c r="I10" s="10" t="n">
        <v>272000</v>
      </c>
      <c r="J10" s="15" t="n">
        <f aca="false">IF(H10&gt;0,I10/H10,"-")</f>
        <v>302.222222222222</v>
      </c>
      <c r="K10" s="14" t="s">
        <v>18</v>
      </c>
      <c r="L10" s="14" t="str">
        <f aca="false">IF(K10="N/A","N/A",IF(VALUE(SUBSTITUTE(K10,"%",""))&lt;=80,"Yes","No"))</f>
        <v>Yes</v>
      </c>
      <c r="M10" s="14" t="s">
        <v>86</v>
      </c>
      <c r="N10" s="9" t="s">
        <v>51</v>
      </c>
      <c r="O10" s="9" t="s">
        <v>52</v>
      </c>
      <c r="P10" s="9" t="s">
        <v>53</v>
      </c>
      <c r="Q10" s="9" t="s">
        <v>53</v>
      </c>
      <c r="R10" s="9" t="s">
        <v>54</v>
      </c>
      <c r="S10" s="9" t="s">
        <v>55</v>
      </c>
    </row>
    <row r="11" customFormat="false" ht="15" hidden="false" customHeight="true" outlineLevel="0" collapsed="false">
      <c r="A11" s="12" t="s">
        <v>87</v>
      </c>
      <c r="B11" s="12" t="s">
        <v>88</v>
      </c>
      <c r="C11" s="12" t="s">
        <v>47</v>
      </c>
      <c r="D11" s="12" t="s">
        <v>48</v>
      </c>
      <c r="E11" s="12" t="s">
        <v>49</v>
      </c>
      <c r="F11" s="6" t="n">
        <v>4</v>
      </c>
      <c r="G11" s="6" t="n">
        <v>2</v>
      </c>
      <c r="H11" s="6" t="n">
        <v>1900</v>
      </c>
      <c r="I11" s="7" t="n">
        <v>468000</v>
      </c>
      <c r="J11" s="13" t="n">
        <f aca="false">IF(H11&gt;0,I11/H11,"-")</f>
        <v>246.315789473684</v>
      </c>
      <c r="K11" s="12" t="s">
        <v>19</v>
      </c>
      <c r="L11" s="12" t="str">
        <f aca="false">IF(K11="N/A","N/A",IF(VALUE(SUBSTITUTE(K11,"%",""))&lt;=80,"Yes","No"))</f>
        <v>No</v>
      </c>
      <c r="M11" s="12" t="s">
        <v>89</v>
      </c>
      <c r="N11" s="6" t="s">
        <v>51</v>
      </c>
      <c r="O11" s="6" t="s">
        <v>53</v>
      </c>
      <c r="P11" s="6" t="s">
        <v>53</v>
      </c>
      <c r="Q11" s="6" t="s">
        <v>53</v>
      </c>
      <c r="R11" s="6" t="s">
        <v>54</v>
      </c>
      <c r="S11" s="6" t="s">
        <v>55</v>
      </c>
    </row>
    <row r="12" customFormat="false" ht="15" hidden="false" customHeight="true" outlineLevel="0" collapsed="false">
      <c r="A12" s="14" t="s">
        <v>90</v>
      </c>
      <c r="B12" s="14" t="s">
        <v>91</v>
      </c>
      <c r="C12" s="14" t="s">
        <v>62</v>
      </c>
      <c r="D12" s="14" t="s">
        <v>63</v>
      </c>
      <c r="E12" s="14" t="s">
        <v>64</v>
      </c>
      <c r="F12" s="9" t="n">
        <v>2</v>
      </c>
      <c r="G12" s="9" t="n">
        <v>2</v>
      </c>
      <c r="H12" s="9" t="n">
        <v>1050</v>
      </c>
      <c r="I12" s="10" t="n">
        <v>685000</v>
      </c>
      <c r="J12" s="15" t="n">
        <f aca="false">IF(H12&gt;0,I12/H12,"-")</f>
        <v>652.380952380952</v>
      </c>
      <c r="K12" s="14" t="s">
        <v>21</v>
      </c>
      <c r="L12" s="14" t="str">
        <f aca="false">IF(K12="N/A","N/A",IF(VALUE(SUBSTITUTE(K12,"%",""))&lt;=80,"Yes","No"))</f>
        <v>No</v>
      </c>
      <c r="M12" s="14" t="s">
        <v>92</v>
      </c>
      <c r="N12" s="9" t="s">
        <v>51</v>
      </c>
      <c r="O12" s="9" t="s">
        <v>53</v>
      </c>
      <c r="P12" s="9" t="s">
        <v>53</v>
      </c>
      <c r="Q12" s="9" t="s">
        <v>53</v>
      </c>
      <c r="R12" s="9" t="s">
        <v>66</v>
      </c>
      <c r="S12" s="9" t="s">
        <v>55</v>
      </c>
    </row>
    <row r="13" customFormat="false" ht="15" hidden="false" customHeight="true" outlineLevel="0" collapsed="false">
      <c r="A13" s="12" t="s">
        <v>93</v>
      </c>
      <c r="B13" s="12" t="s">
        <v>94</v>
      </c>
      <c r="C13" s="12" t="s">
        <v>62</v>
      </c>
      <c r="D13" s="12" t="s">
        <v>63</v>
      </c>
      <c r="E13" s="12" t="s">
        <v>49</v>
      </c>
      <c r="F13" s="6" t="n">
        <v>5</v>
      </c>
      <c r="G13" s="6" t="n">
        <v>3.5</v>
      </c>
      <c r="H13" s="6" t="n">
        <v>3100</v>
      </c>
      <c r="I13" s="7" t="n">
        <v>1250000</v>
      </c>
      <c r="J13" s="13" t="n">
        <f aca="false">IF(H13&gt;0,I13/H13,"-")</f>
        <v>403.225806451613</v>
      </c>
      <c r="K13" s="12" t="s">
        <v>23</v>
      </c>
      <c r="L13" s="12" t="str">
        <f aca="false">IF(K13="N/A","N/A",IF(VALUE(SUBSTITUTE(K13,"%",""))&lt;=80,"Yes","No"))</f>
        <v>No</v>
      </c>
      <c r="M13" s="12" t="s">
        <v>95</v>
      </c>
      <c r="N13" s="6" t="s">
        <v>51</v>
      </c>
      <c r="O13" s="6" t="s">
        <v>53</v>
      </c>
      <c r="P13" s="6" t="s">
        <v>53</v>
      </c>
      <c r="Q13" s="6" t="s">
        <v>53</v>
      </c>
      <c r="R13" s="6" t="s">
        <v>54</v>
      </c>
      <c r="S13" s="6" t="s">
        <v>55</v>
      </c>
    </row>
    <row r="14" customFormat="false" ht="15" hidden="false" customHeight="true" outlineLevel="0" collapsed="false">
      <c r="A14" s="14" t="s">
        <v>96</v>
      </c>
      <c r="B14" s="14" t="s">
        <v>97</v>
      </c>
      <c r="C14" s="14" t="s">
        <v>47</v>
      </c>
      <c r="D14" s="14" t="s">
        <v>48</v>
      </c>
      <c r="E14" s="14" t="s">
        <v>58</v>
      </c>
      <c r="F14" s="9" t="n">
        <v>3</v>
      </c>
      <c r="G14" s="9" t="n">
        <v>2.5</v>
      </c>
      <c r="H14" s="9" t="n">
        <v>1350</v>
      </c>
      <c r="I14" s="10" t="n">
        <v>340000</v>
      </c>
      <c r="J14" s="15" t="n">
        <f aca="false">IF(H14&gt;0,I14/H14,"-")</f>
        <v>251.851851851852</v>
      </c>
      <c r="K14" s="14" t="s">
        <v>18</v>
      </c>
      <c r="L14" s="14" t="str">
        <f aca="false">IF(K14="N/A","N/A",IF(VALUE(SUBSTITUTE(K14,"%",""))&lt;=80,"Yes","No"))</f>
        <v>Yes</v>
      </c>
      <c r="M14" s="14" t="s">
        <v>98</v>
      </c>
      <c r="N14" s="9" t="s">
        <v>51</v>
      </c>
      <c r="O14" s="9" t="s">
        <v>52</v>
      </c>
      <c r="P14" s="9" t="s">
        <v>52</v>
      </c>
      <c r="Q14" s="9" t="s">
        <v>53</v>
      </c>
      <c r="R14" s="9" t="s">
        <v>54</v>
      </c>
      <c r="S14" s="9" t="s">
        <v>55</v>
      </c>
    </row>
    <row r="15" customFormat="false" ht="15" hidden="false" customHeight="true" outlineLevel="0" collapsed="false">
      <c r="A15" s="12" t="s">
        <v>99</v>
      </c>
      <c r="B15" s="12" t="s">
        <v>100</v>
      </c>
      <c r="C15" s="12" t="s">
        <v>101</v>
      </c>
      <c r="D15" s="12" t="s">
        <v>102</v>
      </c>
      <c r="E15" s="12" t="s">
        <v>49</v>
      </c>
      <c r="F15" s="6" t="n">
        <v>2</v>
      </c>
      <c r="G15" s="6" t="n">
        <v>1</v>
      </c>
      <c r="H15" s="6" t="n">
        <v>1050</v>
      </c>
      <c r="I15" s="7" t="n">
        <v>189000</v>
      </c>
      <c r="J15" s="13" t="n">
        <f aca="false">IF(H15&gt;0,I15/H15,"-")</f>
        <v>180</v>
      </c>
      <c r="K15" s="12" t="s">
        <v>14</v>
      </c>
      <c r="L15" s="12" t="str">
        <f aca="false">IF(K15="N/A","N/A",IF(VALUE(SUBSTITUTE(K15,"%",""))&lt;=80,"Yes","No"))</f>
        <v>Yes</v>
      </c>
      <c r="M15" s="12" t="s">
        <v>103</v>
      </c>
      <c r="N15" s="6" t="s">
        <v>51</v>
      </c>
      <c r="O15" s="6" t="s">
        <v>52</v>
      </c>
      <c r="P15" s="6" t="s">
        <v>53</v>
      </c>
      <c r="Q15" s="6" t="s">
        <v>52</v>
      </c>
      <c r="R15" s="6" t="s">
        <v>54</v>
      </c>
      <c r="S15" s="6" t="s">
        <v>55</v>
      </c>
    </row>
    <row r="16" customFormat="false" ht="15" hidden="false" customHeight="true" outlineLevel="0" collapsed="false">
      <c r="A16" s="14" t="s">
        <v>104</v>
      </c>
      <c r="B16" s="14" t="s">
        <v>105</v>
      </c>
      <c r="C16" s="14" t="s">
        <v>62</v>
      </c>
      <c r="D16" s="14" t="s">
        <v>63</v>
      </c>
      <c r="E16" s="14" t="s">
        <v>106</v>
      </c>
      <c r="F16" s="9" t="n">
        <v>0</v>
      </c>
      <c r="G16" s="9" t="n">
        <v>0</v>
      </c>
      <c r="H16" s="9" t="n">
        <v>0</v>
      </c>
      <c r="I16" s="10" t="n">
        <v>320000</v>
      </c>
      <c r="J16" s="15" t="str">
        <f aca="false">IF(H16&gt;0,I16/H16,"-")</f>
        <v>-</v>
      </c>
      <c r="K16" s="14" t="s">
        <v>107</v>
      </c>
      <c r="L16" s="14" t="str">
        <f aca="false">IF(K16="N/A","N/A",IF(VALUE(SUBSTITUTE(K16,"%",""))&lt;=80,"Yes","No"))</f>
        <v>N/A</v>
      </c>
      <c r="M16" s="14" t="s">
        <v>108</v>
      </c>
      <c r="N16" s="9" t="s">
        <v>51</v>
      </c>
      <c r="O16" s="9" t="s">
        <v>53</v>
      </c>
      <c r="P16" s="9" t="s">
        <v>53</v>
      </c>
      <c r="Q16" s="9" t="s">
        <v>53</v>
      </c>
      <c r="R16" s="9" t="s">
        <v>54</v>
      </c>
      <c r="S16" s="9" t="s">
        <v>55</v>
      </c>
    </row>
    <row r="17" customFormat="false" ht="15" hidden="false" customHeight="true" outlineLevel="0" collapsed="false">
      <c r="A17" s="12" t="s">
        <v>109</v>
      </c>
      <c r="B17" s="12" t="s">
        <v>110</v>
      </c>
      <c r="C17" s="12" t="s">
        <v>111</v>
      </c>
      <c r="D17" s="12" t="s">
        <v>112</v>
      </c>
      <c r="E17" s="12" t="s">
        <v>74</v>
      </c>
      <c r="F17" s="6" t="n">
        <v>3</v>
      </c>
      <c r="G17" s="6" t="n">
        <v>2</v>
      </c>
      <c r="H17" s="6" t="n">
        <v>1400</v>
      </c>
      <c r="I17" s="7" t="n">
        <v>165000</v>
      </c>
      <c r="J17" s="13" t="n">
        <f aca="false">IF(H17&gt;0,I17/H17,"-")</f>
        <v>117.857142857143</v>
      </c>
      <c r="K17" s="12" t="s">
        <v>12</v>
      </c>
      <c r="L17" s="12" t="str">
        <f aca="false">IF(K17="N/A","N/A",IF(VALUE(SUBSTITUTE(K17,"%",""))&lt;=80,"Yes","No"))</f>
        <v>Yes</v>
      </c>
      <c r="M17" s="12" t="s">
        <v>113</v>
      </c>
      <c r="N17" s="6" t="s">
        <v>79</v>
      </c>
      <c r="O17" s="6" t="s">
        <v>52</v>
      </c>
      <c r="P17" s="6" t="s">
        <v>53</v>
      </c>
      <c r="Q17" s="6" t="s">
        <v>53</v>
      </c>
      <c r="R17" s="6" t="s">
        <v>54</v>
      </c>
      <c r="S17" s="17" t="n">
        <v>950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2026-06-04T21:52:17Z</dcterms:created>
  <dc:creator>openpyxl</dc:creator>
  <dc:description/>
  <dc:language>en-US</dc:language>
  <cp:lastModifiedBy/>
  <dcterms:modified xsi:type="dcterms:W3CDTF">2026-06-04T22:02:06Z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